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_Eternus_May_2026.csv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<sst xmlns="http://schemas.openxmlformats.org/spreadsheetml/2006/main" count="225" uniqueCount="141">
  <si>
    <t>INVOICE</t>
  </si>
  <si>
    <r>
      <rPr>
        <rFont val="Raleway"/>
        <b/>
        <color theme="1"/>
      </rPr>
      <t xml:space="preserve">Invoice Number: </t>
    </r>
    <r>
      <rPr>
        <rFont val="Raleway"/>
        <b val="0"/>
        <color theme="1"/>
      </rPr>
      <t>INV-2026-0061</t>
    </r>
  </si>
  <si>
    <r>
      <rPr>
        <rFont val="Raleway"/>
        <b/>
        <color theme="1"/>
      </rPr>
      <t xml:space="preserve">Invoice Number: </t>
    </r>
    <r>
      <rPr>
        <rFont val="Raleway"/>
        <b val="0"/>
        <color theme="1"/>
      </rPr>
      <t>INV-2026-005</t>
    </r>
  </si>
  <si>
    <r>
      <rPr>
        <rFont val="Raleway"/>
        <b/>
        <color theme="1"/>
      </rPr>
      <t xml:space="preserve">Invoice Number: </t>
    </r>
    <r>
      <rPr>
        <rFont val="Raleway"/>
        <b val="0"/>
        <color theme="1"/>
      </rPr>
      <t>INV-2026-006</t>
    </r>
  </si>
  <si>
    <r>
      <rPr>
        <rFont val="Raleway"/>
        <b/>
        <color theme="1"/>
      </rPr>
      <t xml:space="preserve">Date: </t>
    </r>
    <r>
      <rPr>
        <rFont val="Raleway"/>
        <b val="0"/>
        <color theme="1"/>
      </rPr>
      <t>22nd June 2026</t>
    </r>
  </si>
  <si>
    <r>
      <rPr>
        <rFont val="Raleway"/>
        <b/>
        <color theme="1"/>
      </rPr>
      <t>Date: 30</t>
    </r>
    <r>
      <rPr>
        <rFont val="Raleway"/>
        <b val="0"/>
        <color theme="1"/>
      </rPr>
      <t>th June 2026</t>
    </r>
  </si>
  <si>
    <r>
      <rPr>
        <rFont val="Raleway"/>
        <b/>
        <color theme="1"/>
      </rPr>
      <t>Date: 11</t>
    </r>
    <r>
      <rPr>
        <rFont val="Raleway"/>
        <b val="0"/>
        <color theme="1"/>
      </rPr>
      <t>th June 2026</t>
    </r>
  </si>
  <si>
    <r>
      <rPr>
        <rFont val="Raleway"/>
        <b/>
        <color theme="1"/>
      </rPr>
      <t xml:space="preserve">BILL TO: </t>
    </r>
    <r>
      <rPr>
        <rFont val="Raleway"/>
        <b val="0"/>
        <color theme="1"/>
      </rPr>
      <t>Eternus Global LLC</t>
    </r>
  </si>
  <si>
    <r>
      <rPr>
        <rFont val="Raleway"/>
        <b/>
        <color theme="1"/>
      </rPr>
      <t xml:space="preserve">BILL TO: </t>
    </r>
    <r>
      <rPr>
        <rFont val="Raleway"/>
        <b val="0"/>
        <color theme="1"/>
      </rPr>
      <t>Eternus Global LLC</t>
    </r>
  </si>
  <si>
    <r>
      <rPr>
        <rFont val="Raleway"/>
        <b/>
        <color theme="1"/>
      </rPr>
      <t xml:space="preserve">BILL TO: </t>
    </r>
    <r>
      <rPr>
        <rFont val="Raleway"/>
        <b val="0"/>
        <color theme="1"/>
      </rPr>
      <t>Eternus Global LLC</t>
    </r>
  </si>
  <si>
    <r>
      <rPr>
        <rFont val="Raleway"/>
        <b/>
        <color theme="1"/>
      </rPr>
      <t>Billing Period:</t>
    </r>
    <r>
      <rPr>
        <rFont val="Raleway"/>
        <color theme="1"/>
      </rPr>
      <t xml:space="preserve"> June 11th, 2026 – June 30th, 2026</t>
    </r>
  </si>
  <si>
    <t>Task Description</t>
  </si>
  <si>
    <t>Hours</t>
  </si>
  <si>
    <t>Rate ($)</t>
  </si>
  <si>
    <t>Total ($)</t>
  </si>
  <si>
    <t>104-change-the-design-for-the-faqs-section</t>
  </si>
  <si>
    <t>75-the-title-and-perex-text-are-hardcoded-for-the-home-page</t>
  </si>
  <si>
    <t>105-resize-and-apply</t>
  </si>
  <si>
    <t>105-resize-background-dice-imagewebp-to-600px-and-apply-changes</t>
  </si>
  <si>
    <t>109-update-the-markup-schemas-for-the-casino-review-pages</t>
  </si>
  <si>
    <t>11-crc-table-3-best-casino-sites-in-argentina</t>
  </si>
  <si>
    <t>110-update-the-markup-schemas-for-the-blog-pages</t>
  </si>
  <si>
    <t>79-change-the-lang-attribute-to-es-ar</t>
  </si>
  <si>
    <t>111-optimize-json-schema-placement</t>
  </si>
  <si>
    <t>112-show-more-less-button-for-providers</t>
  </si>
  <si>
    <t>113-add-dedicated-faq-schema-plain-text-field</t>
  </si>
  <si>
    <t>115-replace-h2-and-h3-tags-with-span-or-p</t>
  </si>
  <si>
    <t>116-replace-the-logo</t>
  </si>
  <si>
    <t>8-create-crc-table</t>
  </si>
  <si>
    <t>14-responsible-gambling-block-should-be-created-for-every-page-below-the-faqs-section</t>
  </si>
  <si>
    <t>16-template-bonuses-nav-cards-block</t>
  </si>
  <si>
    <t>17-template-bonuses-how-we-rate-and-review-offers</t>
  </si>
  <si>
    <t>19-template-bonuses-types-of-casino-bonus-offers-explained</t>
  </si>
  <si>
    <t>81-remove-indexphp-index-page-from-urls-and-enforce-clean-urls</t>
  </si>
  <si>
    <t>20-template-bonuses-top-promotions-in-argentina-crc-table</t>
  </si>
  <si>
    <t>21-template-bonuses-expert-tips-choosing-the-best-offers</t>
  </si>
  <si>
    <t>24-template-games-what-are-the-best-casino-games-to-play</t>
  </si>
  <si>
    <t>26-template-games-overview-of-the-most-popular-casino-games</t>
  </si>
  <si>
    <t>82-removing-the-sections</t>
  </si>
  <si>
    <t>27-games-template-how-to-choose-the-right-casino-games</t>
  </si>
  <si>
    <t>28-games-template-understanding-the-risks</t>
  </si>
  <si>
    <t>31-sport-betting-new-to-sports-betting</t>
  </si>
  <si>
    <t>83-change-the-casino-logo-with-the-correct-one</t>
  </si>
  <si>
    <t>33-sport-betting-sports-betting-bonuses-explained</t>
  </si>
  <si>
    <t>35-sport-betting-responsible-sports-betting</t>
  </si>
  <si>
    <t>38-casino-review-awarded-badges-for-aquawin-casino</t>
  </si>
  <si>
    <t>84-remove-the-hero-section-buttons-for-the-templates-mainwithadvertising-and-sportbeting</t>
  </si>
  <si>
    <t>4-faqs-section</t>
  </si>
  <si>
    <t>40-casino-reivew-image-slider</t>
  </si>
  <si>
    <t>Docker syslink for local adminhub</t>
  </si>
  <si>
    <t>41-casino-review-games-and-developers</t>
  </si>
  <si>
    <t>43-casino-review-conclusion</t>
  </si>
  <si>
    <t>48-soccer-betting-guide-how-betting-flor-works</t>
  </si>
  <si>
    <t>51-soccer-betting-guide-responsible-soccer-betting</t>
  </si>
  <si>
    <t>JA-5-footer-section</t>
  </si>
  <si>
    <t>53-about-us-our-mission-our-vission</t>
  </si>
  <si>
    <t>59-roulette-online-expert-roulette-advice</t>
  </si>
  <si>
    <t>Make PR requests for all tasks done today</t>
  </si>
  <si>
    <t>64-gambling-guide-for-local-and-offshore-casinos</t>
  </si>
  <si>
    <t>65-key-takeaways-block</t>
  </si>
  <si>
    <t>66-about-us-what-we-do</t>
  </si>
  <si>
    <t>Make PR requests for all tasks done yesterday</t>
  </si>
  <si>
    <t>68-about-us-our-commitment</t>
  </si>
  <si>
    <t>7-trusted-payment-methods-block</t>
  </si>
  <si>
    <t>Make clean up for JA after adminhub merge and PR merges</t>
  </si>
  <si>
    <t>9-create-crc-table-2-casino-of-the-month</t>
  </si>
  <si>
    <t>91-the-buttons-displayed-in-the-hero-section-do-not-have-equal-spacing-between-them</t>
  </si>
  <si>
    <t>Meeting with miroslav to explain tickets</t>
  </si>
  <si>
    <t>92-make-the-images-responsive</t>
  </si>
  <si>
    <t>PR REVIEWS</t>
  </si>
  <si>
    <t>97-breadcrumbs-written-by-updated-by-for-casino-review-pages</t>
  </si>
  <si>
    <t>99-change-the-table-style</t>
  </si>
  <si>
    <t>PR merge and composer update for admin hub dependency</t>
  </si>
  <si>
    <t>Checking Admin block edit block blank screen issue</t>
  </si>
  <si>
    <t>Css Seperation for aussie</t>
  </si>
  <si>
    <t>Fix Admin hub section wrapper</t>
  </si>
  <si>
    <t>Pre-setup and 117-the-play-button-for-table-view-is-half-covered</t>
  </si>
  <si>
    <t>Fix-block-style-conflict-inside-other-blocks</t>
  </si>
  <si>
    <t>RR Reviews</t>
  </si>
  <si>
    <t>Github Branch Security Incident Code Cleanup</t>
  </si>
  <si>
    <t>Local Setup prep for juegoargentina</t>
  </si>
  <si>
    <t>PR Reviews 31- 37</t>
  </si>
  <si>
    <t>PR Reviews 31- 39</t>
  </si>
  <si>
    <t>PR Reviews 37 - 39</t>
  </si>
  <si>
    <t>PR reviews</t>
  </si>
  <si>
    <t>Update Trello board for all tickets in PR 49</t>
  </si>
  <si>
    <t>Update Trello board for all tickets</t>
  </si>
  <si>
    <t>add two links to the redirecting list</t>
  </si>
  <si>
    <t>change block types</t>
  </si>
  <si>
    <t>css-issues-resolution-for-aussie-casinos-after-release</t>
  </si>
  <si>
    <t>merge closed branch into main</t>
  </si>
  <si>
    <t>remove malware from vite.config.js</t>
  </si>
  <si>
    <t>update JIRA board</t>
  </si>
  <si>
    <t>GRAND TOTAL</t>
  </si>
  <si>
    <t>Trello Board Update and Making Video reference for Testing</t>
  </si>
  <si>
    <t>ACCOUNT DETAILS</t>
  </si>
  <si>
    <t>checks and PR for yesterday's work</t>
  </si>
  <si>
    <r>
      <rPr>
        <rFont val="Raleway"/>
        <b/>
        <color theme="1"/>
      </rPr>
      <t xml:space="preserve">Bank Name: </t>
    </r>
    <r>
      <rPr>
        <rFont val="Raleway"/>
        <b val="0"/>
        <color theme="1"/>
      </rPr>
      <t>Regent Bank.</t>
    </r>
  </si>
  <si>
    <t>fix issues with expert tips and roulette online</t>
  </si>
  <si>
    <t>fixer local docker issue</t>
  </si>
  <si>
    <r>
      <rPr>
        <rFont val="Raleway"/>
        <b/>
        <color theme="1"/>
      </rPr>
      <t>Account Name:</t>
    </r>
    <r>
      <rPr>
        <rFont val="Raleway"/>
        <b val="0"/>
        <color theme="1"/>
      </rPr>
      <t xml:space="preserve">  Israel Brume Oghenekaro </t>
    </r>
  </si>
  <si>
    <t>homepage error fix for JA</t>
  </si>
  <si>
    <r>
      <rPr>
        <rFont val="Raleway"/>
        <b/>
        <color theme="1"/>
      </rPr>
      <t xml:space="preserve">Account Number: </t>
    </r>
    <r>
      <rPr>
        <rFont val="Raleway"/>
        <b val="0"/>
        <color theme="1"/>
      </rPr>
      <t>117002780388</t>
    </r>
  </si>
  <si>
    <t>make PR of tasks done and clean up for all IN PROGRESS tickets</t>
  </si>
  <si>
    <t>make PR of tasks done, clean up, and work for all IN PROGRESS tickets</t>
  </si>
  <si>
    <r>
      <rPr>
        <rFont val="Raleway"/>
        <b/>
        <color theme="1"/>
      </rPr>
      <t xml:space="preserve">Account Type: </t>
    </r>
    <r>
      <rPr>
        <rFont val="Raleway"/>
        <b val="0"/>
        <color theme="1"/>
      </rPr>
      <t>Checking</t>
    </r>
  </si>
  <si>
    <t>research and tests for image change issue for multiple blocks</t>
  </si>
  <si>
    <t>setup OAC locally</t>
  </si>
  <si>
    <r>
      <rPr>
        <rFont val="Raleway"/>
        <b/>
        <color theme="1"/>
      </rPr>
      <t xml:space="preserve">Routing Number: </t>
    </r>
    <r>
      <rPr>
        <rFont val="Raleway"/>
        <b val="0"/>
        <color theme="1"/>
      </rPr>
      <t>103913434</t>
    </r>
  </si>
  <si>
    <t>setup SingaporeOC-tech locally</t>
  </si>
  <si>
    <t>108-remove-part-of-the-text-in-the-robotstxt-file</t>
  </si>
  <si>
    <r>
      <rPr>
        <rFont val="Raleway"/>
        <b/>
        <color theme="1"/>
      </rPr>
      <t xml:space="preserve">Address:  </t>
    </r>
    <r>
      <rPr>
        <rFont val="Raleway"/>
        <b val="0"/>
        <color theme="1"/>
      </rPr>
      <t xml:space="preserve"> 7136 S. Yale Ave., Suite 100, Tulsa, OK 74136, USA </t>
    </r>
  </si>
  <si>
    <t>115-the-casino-review-title-should-be-displayed-in-the-hero-section</t>
  </si>
  <si>
    <t>119-responsible-gaming-buttons-cant-be-turned-off</t>
  </si>
  <si>
    <t>122-add-a-button-to-the-navbar-for-the-wagering-calculator</t>
  </si>
  <si>
    <t>124-the-dynamic-variable-for-year-currentyear-is-not-converting-for-the-home-page</t>
  </si>
  <si>
    <t>125-update-the-schema-for-casino-review-pages</t>
  </si>
  <si>
    <t>126-update-the-schema-for-blogs</t>
  </si>
  <si>
    <t>18-template-bonuses-casino-bonus-of-the-month</t>
  </si>
  <si>
    <t>28-create-a-gift-box-as-it-is-on-aussiecasinos</t>
  </si>
  <si>
    <r>
      <rPr>
        <rFont val="Raleway"/>
        <b/>
        <color theme="1"/>
      </rPr>
      <t xml:space="preserve">Bank Name: </t>
    </r>
    <r>
      <rPr>
        <rFont val="Raleway"/>
        <b val="0"/>
        <color theme="1"/>
      </rPr>
      <t>Regent Bank.</t>
    </r>
  </si>
  <si>
    <t>32-sport-betting-tips-from-our-experts</t>
  </si>
  <si>
    <r>
      <rPr>
        <rFont val="Raleway"/>
        <b/>
        <color theme="1"/>
      </rPr>
      <t>Account Name:</t>
    </r>
    <r>
      <rPr>
        <rFont val="Raleway"/>
        <b val="0"/>
        <color theme="1"/>
      </rPr>
      <t xml:space="preserve">  Israel Brume Oghenekaro </t>
    </r>
  </si>
  <si>
    <r>
      <rPr>
        <rFont val="Raleway"/>
        <b/>
        <color theme="1"/>
      </rPr>
      <t xml:space="preserve">Account Number: </t>
    </r>
    <r>
      <rPr>
        <rFont val="Raleway"/>
        <b val="0"/>
        <color theme="1"/>
      </rPr>
      <t>117002780388</t>
    </r>
  </si>
  <si>
    <t>37-casino-review-hero-section</t>
  </si>
  <si>
    <r>
      <rPr>
        <rFont val="Raleway"/>
        <b/>
        <color theme="1"/>
      </rPr>
      <t xml:space="preserve">Account Type: </t>
    </r>
    <r>
      <rPr>
        <rFont val="Raleway"/>
        <b val="0"/>
        <color theme="1"/>
      </rPr>
      <t>Checking</t>
    </r>
  </si>
  <si>
    <t>39-casino-review-casino-overview</t>
  </si>
  <si>
    <r>
      <rPr>
        <rFont val="Raleway"/>
        <b/>
        <color theme="1"/>
      </rPr>
      <t xml:space="preserve">Routing Number: </t>
    </r>
    <r>
      <rPr>
        <rFont val="Raleway"/>
        <b val="0"/>
        <color theme="1"/>
      </rPr>
      <t>103913434</t>
    </r>
  </si>
  <si>
    <r>
      <rPr>
        <rFont val="Raleway"/>
        <b/>
        <color theme="1"/>
      </rPr>
      <t xml:space="preserve">Address:  </t>
    </r>
    <r>
      <rPr>
        <rFont val="Raleway"/>
        <b val="0"/>
        <color theme="1"/>
      </rPr>
      <t xml:space="preserve"> 7136 S. Yale Ave., Suite 100, Tulsa, OK 74136, USA </t>
    </r>
  </si>
  <si>
    <t>44-casino-review-pros-and-cons</t>
  </si>
  <si>
    <t>58-roulette-online-different-roulette-strategies</t>
  </si>
  <si>
    <t>62-casino-of-the-month</t>
  </si>
  <si>
    <t>63-casino-advantages</t>
  </si>
  <si>
    <t>72-there-is-a-section-on-the-bottom-of-the-page-that-should-be-removed</t>
  </si>
  <si>
    <t>74-block-text-editing-disabled</t>
  </si>
  <si>
    <r>
      <rPr>
        <rFont val="Raleway"/>
        <b/>
        <color theme="1"/>
      </rPr>
      <t xml:space="preserve">Bank Name: </t>
    </r>
    <r>
      <rPr>
        <rFont val="Raleway"/>
        <b val="0"/>
        <color theme="1"/>
      </rPr>
      <t>Regent Bank.</t>
    </r>
  </si>
  <si>
    <r>
      <rPr>
        <rFont val="Raleway"/>
        <b/>
        <color theme="1"/>
      </rPr>
      <t>Account Name:</t>
    </r>
    <r>
      <rPr>
        <rFont val="Raleway"/>
        <b val="0"/>
        <color theme="1"/>
      </rPr>
      <t xml:space="preserve">  Israel Brume Oghenekaro </t>
    </r>
  </si>
  <si>
    <r>
      <rPr>
        <rFont val="Raleway"/>
        <b/>
        <color theme="1"/>
      </rPr>
      <t xml:space="preserve">Account Number: </t>
    </r>
    <r>
      <rPr>
        <rFont val="Raleway"/>
        <b val="0"/>
        <color theme="1"/>
      </rPr>
      <t>117002780388</t>
    </r>
  </si>
  <si>
    <r>
      <rPr>
        <rFont val="Raleway"/>
        <b/>
        <color theme="1"/>
      </rPr>
      <t xml:space="preserve">Account Type: </t>
    </r>
    <r>
      <rPr>
        <rFont val="Raleway"/>
        <b val="0"/>
        <color theme="1"/>
      </rPr>
      <t>Checking</t>
    </r>
  </si>
  <si>
    <r>
      <rPr>
        <rFont val="Raleway"/>
        <b/>
        <color theme="1"/>
      </rPr>
      <t xml:space="preserve">Routing Number: </t>
    </r>
    <r>
      <rPr>
        <rFont val="Raleway"/>
        <b val="0"/>
        <color theme="1"/>
      </rPr>
      <t>103913434</t>
    </r>
  </si>
  <si>
    <r>
      <rPr>
        <rFont val="Raleway"/>
        <b/>
        <color theme="1"/>
      </rPr>
      <t xml:space="preserve">Address:  </t>
    </r>
    <r>
      <rPr>
        <rFont val="Raleway"/>
        <b val="0"/>
        <color theme="1"/>
      </rPr>
      <t xml:space="preserve"> 7136 S. Yale Ave., Suite 100, Tulsa, OK 74136, USA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</si>
</sst>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Raleway"/>
    </font>
    <font>
      <color theme="1"/>
      <name val="Raleway"/>
    </font>
    <font>
      <b/>
      <color theme="1"/>
      <name val="Raleway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5" numFmtId="0" xfId="0" applyFont="1"/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8.6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11</v>
      </c>
      <c r="B8" s="8" t="s">
        <v>12</v>
      </c>
      <c r="C8" s="8" t="s">
        <v>13</v>
      </c>
      <c r="D8" s="8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15</v>
      </c>
      <c r="B9" s="6">
        <v>3.0</v>
      </c>
      <c r="C9" s="6">
        <v>11.54</v>
      </c>
      <c r="D9" s="7">
        <f t="shared" ref="D9:D57" si="1">(B9*C9)</f>
        <v>34.62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17</v>
      </c>
      <c r="B10" s="6">
        <v>0.5</v>
      </c>
      <c r="C10" s="6">
        <v>11.54</v>
      </c>
      <c r="D10" s="7">
        <f t="shared" si="1"/>
        <v>5.77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18</v>
      </c>
      <c r="B11" s="6">
        <v>0.75</v>
      </c>
      <c r="C11" s="6">
        <v>11.54</v>
      </c>
      <c r="D11" s="7">
        <f t="shared" si="1"/>
        <v>8.655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19</v>
      </c>
      <c r="B12" s="6">
        <v>7.0</v>
      </c>
      <c r="C12" s="6">
        <v>11.54</v>
      </c>
      <c r="D12" s="7">
        <f t="shared" si="1"/>
        <v>80.78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20</v>
      </c>
      <c r="B13" s="6">
        <v>3.0</v>
      </c>
      <c r="C13" s="6">
        <v>11.54</v>
      </c>
      <c r="D13" s="7">
        <f t="shared" si="1"/>
        <v>34.62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21</v>
      </c>
      <c r="B14" s="6">
        <v>3.25</v>
      </c>
      <c r="C14" s="6">
        <v>11.54</v>
      </c>
      <c r="D14" s="7">
        <f t="shared" si="1"/>
        <v>37.505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23</v>
      </c>
      <c r="B15" s="6">
        <v>6.75</v>
      </c>
      <c r="C15" s="6">
        <v>11.54</v>
      </c>
      <c r="D15" s="7">
        <f t="shared" si="1"/>
        <v>77.895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24</v>
      </c>
      <c r="B16" s="6">
        <v>1.5</v>
      </c>
      <c r="C16" s="6">
        <v>11.54</v>
      </c>
      <c r="D16" s="7">
        <f t="shared" si="1"/>
        <v>17.31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25</v>
      </c>
      <c r="B17" s="6">
        <v>9.75</v>
      </c>
      <c r="C17" s="6">
        <v>11.54</v>
      </c>
      <c r="D17" s="7">
        <f t="shared" si="1"/>
        <v>112.515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26</v>
      </c>
      <c r="B18" s="6">
        <v>0.75</v>
      </c>
      <c r="C18" s="6">
        <v>11.54</v>
      </c>
      <c r="D18" s="7">
        <f t="shared" si="1"/>
        <v>8.655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27</v>
      </c>
      <c r="B19" s="6">
        <v>2.25</v>
      </c>
      <c r="C19" s="6">
        <v>11.54</v>
      </c>
      <c r="D19" s="7">
        <f t="shared" si="1"/>
        <v>25.965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29</v>
      </c>
      <c r="B20" s="6">
        <v>3.5</v>
      </c>
      <c r="C20" s="6">
        <v>11.54</v>
      </c>
      <c r="D20" s="7">
        <f t="shared" si="1"/>
        <v>40.39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30</v>
      </c>
      <c r="B21" s="6">
        <v>2.25</v>
      </c>
      <c r="C21" s="6">
        <v>11.54</v>
      </c>
      <c r="D21" s="7">
        <f t="shared" si="1"/>
        <v>25.965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31</v>
      </c>
      <c r="B22" s="6">
        <v>0.75</v>
      </c>
      <c r="C22" s="6">
        <v>11.54</v>
      </c>
      <c r="D22" s="7">
        <f t="shared" si="1"/>
        <v>8.655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32</v>
      </c>
      <c r="B23" s="6">
        <v>3.25</v>
      </c>
      <c r="C23" s="6">
        <v>11.54</v>
      </c>
      <c r="D23" s="7">
        <f t="shared" si="1"/>
        <v>37.505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35</v>
      </c>
      <c r="B24" s="6">
        <v>1.75</v>
      </c>
      <c r="C24" s="6">
        <v>11.54</v>
      </c>
      <c r="D24" s="7">
        <f t="shared" si="1"/>
        <v>20.195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36</v>
      </c>
      <c r="B25" s="6">
        <v>1.0</v>
      </c>
      <c r="C25" s="6">
        <v>11.54</v>
      </c>
      <c r="D25" s="7">
        <f t="shared" si="1"/>
        <v>11.54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37</v>
      </c>
      <c r="B26" s="6">
        <v>1.0</v>
      </c>
      <c r="C26" s="6">
        <v>11.54</v>
      </c>
      <c r="D26" s="7">
        <f t="shared" si="1"/>
        <v>11.54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39</v>
      </c>
      <c r="B27" s="6">
        <v>0.75</v>
      </c>
      <c r="C27" s="6">
        <v>11.54</v>
      </c>
      <c r="D27" s="7">
        <f t="shared" si="1"/>
        <v>8.655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 t="s">
        <v>40</v>
      </c>
      <c r="B28" s="6">
        <v>1.0</v>
      </c>
      <c r="C28" s="6">
        <v>11.54</v>
      </c>
      <c r="D28" s="7">
        <f t="shared" si="1"/>
        <v>11.54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41</v>
      </c>
      <c r="B29" s="6">
        <v>0.75</v>
      </c>
      <c r="C29" s="6">
        <v>11.54</v>
      </c>
      <c r="D29" s="7">
        <f t="shared" si="1"/>
        <v>8.655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 t="s">
        <v>43</v>
      </c>
      <c r="B30" s="6">
        <v>1.25</v>
      </c>
      <c r="C30" s="6">
        <v>11.54</v>
      </c>
      <c r="D30" s="7">
        <f t="shared" si="1"/>
        <v>14.425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44</v>
      </c>
      <c r="B31" s="6">
        <v>1.0</v>
      </c>
      <c r="C31" s="6">
        <v>11.54</v>
      </c>
      <c r="D31" s="7">
        <f t="shared" si="1"/>
        <v>11.54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 t="s">
        <v>45</v>
      </c>
      <c r="B32" s="6">
        <v>0.75</v>
      </c>
      <c r="C32" s="6">
        <v>11.54</v>
      </c>
      <c r="D32" s="7">
        <f t="shared" si="1"/>
        <v>8.655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47</v>
      </c>
      <c r="B33" s="6">
        <v>6.0</v>
      </c>
      <c r="C33" s="6">
        <v>11.54</v>
      </c>
      <c r="D33" s="7">
        <f t="shared" si="1"/>
        <v>69.24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50</v>
      </c>
      <c r="B34" s="6">
        <v>2.0</v>
      </c>
      <c r="C34" s="6">
        <v>11.54</v>
      </c>
      <c r="D34" s="7">
        <f t="shared" si="1"/>
        <v>23.08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52</v>
      </c>
      <c r="B35" s="6">
        <v>1.0</v>
      </c>
      <c r="C35" s="6">
        <v>11.54</v>
      </c>
      <c r="D35" s="7">
        <f t="shared" si="1"/>
        <v>11.54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 t="s">
        <v>53</v>
      </c>
      <c r="B36" s="6">
        <v>0.75</v>
      </c>
      <c r="C36" s="6">
        <v>11.54</v>
      </c>
      <c r="D36" s="7">
        <f t="shared" si="1"/>
        <v>8.655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 t="s">
        <v>55</v>
      </c>
      <c r="B37" s="6">
        <v>1.75</v>
      </c>
      <c r="C37" s="6">
        <v>11.54</v>
      </c>
      <c r="D37" s="7">
        <f t="shared" si="1"/>
        <v>20.195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 t="s">
        <v>58</v>
      </c>
      <c r="B38" s="6">
        <v>2.25</v>
      </c>
      <c r="C38" s="6">
        <v>11.54</v>
      </c>
      <c r="D38" s="7">
        <f t="shared" si="1"/>
        <v>25.965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 t="s">
        <v>59</v>
      </c>
      <c r="B39" s="6">
        <v>1.5</v>
      </c>
      <c r="C39" s="6">
        <v>11.54</v>
      </c>
      <c r="D39" s="7">
        <f t="shared" si="1"/>
        <v>17.31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 t="s">
        <v>60</v>
      </c>
      <c r="B40" s="6">
        <v>1.25</v>
      </c>
      <c r="C40" s="6">
        <v>11.54</v>
      </c>
      <c r="D40" s="7">
        <f t="shared" si="1"/>
        <v>14.425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 t="s">
        <v>62</v>
      </c>
      <c r="B41" s="6">
        <v>0.75</v>
      </c>
      <c r="C41" s="6">
        <v>11.54</v>
      </c>
      <c r="D41" s="7">
        <f t="shared" si="1"/>
        <v>8.655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 t="s">
        <v>63</v>
      </c>
      <c r="B42" s="6">
        <v>3.0</v>
      </c>
      <c r="C42" s="6">
        <v>11.54</v>
      </c>
      <c r="D42" s="7">
        <f t="shared" si="1"/>
        <v>34.62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 t="s">
        <v>65</v>
      </c>
      <c r="B43" s="6">
        <v>4.75</v>
      </c>
      <c r="C43" s="6">
        <v>11.54</v>
      </c>
      <c r="D43" s="7">
        <f t="shared" si="1"/>
        <v>54.815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 t="s">
        <v>66</v>
      </c>
      <c r="B44" s="6">
        <v>3.25</v>
      </c>
      <c r="C44" s="6">
        <v>11.54</v>
      </c>
      <c r="D44" s="7">
        <f t="shared" si="1"/>
        <v>37.505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 t="s">
        <v>68</v>
      </c>
      <c r="B45" s="6">
        <v>3.0</v>
      </c>
      <c r="C45" s="6">
        <v>11.54</v>
      </c>
      <c r="D45" s="7">
        <f t="shared" si="1"/>
        <v>34.62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 t="s">
        <v>70</v>
      </c>
      <c r="B46" s="6">
        <v>3.0</v>
      </c>
      <c r="C46" s="6">
        <v>11.54</v>
      </c>
      <c r="D46" s="7">
        <f t="shared" si="1"/>
        <v>34.62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 t="s">
        <v>71</v>
      </c>
      <c r="B47" s="6">
        <v>2.0</v>
      </c>
      <c r="C47" s="6">
        <v>11.54</v>
      </c>
      <c r="D47" s="7">
        <f t="shared" si="1"/>
        <v>23.08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 t="s">
        <v>74</v>
      </c>
      <c r="B48" s="6">
        <v>1.5</v>
      </c>
      <c r="C48" s="6">
        <v>11.54</v>
      </c>
      <c r="D48" s="7">
        <f t="shared" si="1"/>
        <v>17.31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 t="s">
        <v>54</v>
      </c>
      <c r="B49" s="6">
        <v>1.25</v>
      </c>
      <c r="C49" s="6">
        <v>11.54</v>
      </c>
      <c r="D49" s="7">
        <f t="shared" si="1"/>
        <v>14.425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 t="s">
        <v>80</v>
      </c>
      <c r="B50" s="6">
        <v>1.75</v>
      </c>
      <c r="C50" s="6">
        <v>11.54</v>
      </c>
      <c r="D50" s="7">
        <f t="shared" si="1"/>
        <v>20.195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 t="s">
        <v>57</v>
      </c>
      <c r="B51" s="6">
        <v>0.75</v>
      </c>
      <c r="C51" s="6">
        <v>11.54</v>
      </c>
      <c r="D51" s="7">
        <f t="shared" si="1"/>
        <v>8.655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 t="s">
        <v>81</v>
      </c>
      <c r="B52" s="6">
        <v>1.25</v>
      </c>
      <c r="C52" s="6">
        <v>11.54</v>
      </c>
      <c r="D52" s="7">
        <f t="shared" si="1"/>
        <v>14.425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 t="s">
        <v>82</v>
      </c>
      <c r="B53" s="6">
        <v>1.25</v>
      </c>
      <c r="C53" s="6">
        <v>11.54</v>
      </c>
      <c r="D53" s="7">
        <f t="shared" si="1"/>
        <v>14.425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 t="s">
        <v>83</v>
      </c>
      <c r="B54" s="6">
        <v>0.25</v>
      </c>
      <c r="C54" s="6">
        <v>11.54</v>
      </c>
      <c r="D54" s="7">
        <f t="shared" si="1"/>
        <v>2.885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 t="s">
        <v>84</v>
      </c>
      <c r="B55" s="6">
        <v>18.25</v>
      </c>
      <c r="C55" s="6">
        <v>11.54</v>
      </c>
      <c r="D55" s="7">
        <f t="shared" si="1"/>
        <v>210.605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 t="s">
        <v>87</v>
      </c>
      <c r="B56" s="6">
        <v>0.25</v>
      </c>
      <c r="C56" s="6">
        <v>11.54</v>
      </c>
      <c r="D56" s="7">
        <f t="shared" si="1"/>
        <v>2.885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89</v>
      </c>
      <c r="B57" s="6">
        <v>1.75</v>
      </c>
      <c r="C57" s="6">
        <v>11.54</v>
      </c>
      <c r="D57" s="7">
        <f t="shared" si="1"/>
        <v>20.195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 t="s">
        <v>93</v>
      </c>
      <c r="B59" s="13">
        <v>122.0</v>
      </c>
      <c r="C59" s="3"/>
      <c r="D59" s="13">
        <v>1407.88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 t="s">
        <v>95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120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122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123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 t="s">
        <v>125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127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128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8.1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11</v>
      </c>
      <c r="B8" s="8" t="s">
        <v>12</v>
      </c>
      <c r="C8" s="8" t="s">
        <v>13</v>
      </c>
      <c r="D8" s="8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15</v>
      </c>
      <c r="B9" s="10">
        <v>3.0</v>
      </c>
      <c r="C9" s="6">
        <v>11.54</v>
      </c>
      <c r="D9" s="12">
        <f t="shared" ref="D9:D72" si="1">(B9*C9)</f>
        <v>34.62</v>
      </c>
    </row>
    <row r="10">
      <c r="A10" s="9" t="s">
        <v>17</v>
      </c>
      <c r="B10" s="10">
        <v>0.5</v>
      </c>
      <c r="C10" s="6">
        <v>11.54</v>
      </c>
      <c r="D10" s="12">
        <f t="shared" si="1"/>
        <v>5.77</v>
      </c>
    </row>
    <row r="11">
      <c r="A11" s="9" t="s">
        <v>18</v>
      </c>
      <c r="B11" s="10">
        <v>0.75</v>
      </c>
      <c r="C11" s="6">
        <v>11.54</v>
      </c>
      <c r="D11" s="12">
        <f t="shared" si="1"/>
        <v>8.655</v>
      </c>
    </row>
    <row r="12">
      <c r="A12" s="9" t="s">
        <v>19</v>
      </c>
      <c r="B12" s="10">
        <v>7.0</v>
      </c>
      <c r="C12" s="6">
        <v>11.54</v>
      </c>
      <c r="D12" s="12">
        <f t="shared" si="1"/>
        <v>80.78</v>
      </c>
    </row>
    <row r="13">
      <c r="A13" s="9" t="s">
        <v>20</v>
      </c>
      <c r="B13" s="10">
        <v>3.0</v>
      </c>
      <c r="C13" s="6">
        <v>11.54</v>
      </c>
      <c r="D13" s="12">
        <f t="shared" si="1"/>
        <v>34.62</v>
      </c>
    </row>
    <row r="14">
      <c r="A14" s="9" t="s">
        <v>21</v>
      </c>
      <c r="B14" s="10">
        <v>3.25</v>
      </c>
      <c r="C14" s="6">
        <v>11.54</v>
      </c>
      <c r="D14" s="12">
        <f t="shared" si="1"/>
        <v>37.505</v>
      </c>
    </row>
    <row r="15">
      <c r="A15" s="9" t="s">
        <v>23</v>
      </c>
      <c r="B15" s="10">
        <v>6.75</v>
      </c>
      <c r="C15" s="6">
        <v>11.54</v>
      </c>
      <c r="D15" s="12">
        <f t="shared" si="1"/>
        <v>77.895</v>
      </c>
    </row>
    <row r="16">
      <c r="A16" s="9" t="s">
        <v>24</v>
      </c>
      <c r="B16" s="10">
        <v>1.5</v>
      </c>
      <c r="C16" s="6">
        <v>11.54</v>
      </c>
      <c r="D16" s="12">
        <f t="shared" si="1"/>
        <v>17.31</v>
      </c>
    </row>
    <row r="17">
      <c r="A17" s="9" t="s">
        <v>25</v>
      </c>
      <c r="B17" s="10">
        <v>9.75</v>
      </c>
      <c r="C17" s="6">
        <v>11.54</v>
      </c>
      <c r="D17" s="12">
        <f t="shared" si="1"/>
        <v>112.515</v>
      </c>
    </row>
    <row r="18">
      <c r="A18" s="9" t="s">
        <v>26</v>
      </c>
      <c r="B18" s="10">
        <v>0.75</v>
      </c>
      <c r="C18" s="6">
        <v>11.54</v>
      </c>
      <c r="D18" s="12">
        <f t="shared" si="1"/>
        <v>8.655</v>
      </c>
    </row>
    <row r="19">
      <c r="A19" s="9" t="s">
        <v>27</v>
      </c>
      <c r="B19" s="10">
        <v>2.25</v>
      </c>
      <c r="C19" s="6">
        <v>11.54</v>
      </c>
      <c r="D19" s="12">
        <f t="shared" si="1"/>
        <v>25.965</v>
      </c>
    </row>
    <row r="20">
      <c r="A20" s="9" t="s">
        <v>29</v>
      </c>
      <c r="B20" s="10">
        <v>3.5</v>
      </c>
      <c r="C20" s="6">
        <v>11.54</v>
      </c>
      <c r="D20" s="12">
        <f t="shared" si="1"/>
        <v>40.39</v>
      </c>
    </row>
    <row r="21">
      <c r="A21" s="9" t="s">
        <v>30</v>
      </c>
      <c r="B21" s="10">
        <v>4.0</v>
      </c>
      <c r="C21" s="6">
        <v>11.54</v>
      </c>
      <c r="D21" s="12">
        <f t="shared" si="1"/>
        <v>46.16</v>
      </c>
    </row>
    <row r="22">
      <c r="A22" s="9" t="s">
        <v>31</v>
      </c>
      <c r="B22" s="10">
        <v>0.75</v>
      </c>
      <c r="C22" s="6">
        <v>11.54</v>
      </c>
      <c r="D22" s="12">
        <f t="shared" si="1"/>
        <v>8.655</v>
      </c>
    </row>
    <row r="23">
      <c r="A23" s="9" t="s">
        <v>32</v>
      </c>
      <c r="B23" s="10">
        <v>3.25</v>
      </c>
      <c r="C23" s="6">
        <v>11.54</v>
      </c>
      <c r="D23" s="12">
        <f t="shared" si="1"/>
        <v>37.505</v>
      </c>
    </row>
    <row r="24">
      <c r="A24" s="9" t="s">
        <v>34</v>
      </c>
      <c r="B24" s="10">
        <v>1.75</v>
      </c>
      <c r="C24" s="6">
        <v>11.54</v>
      </c>
      <c r="D24" s="12">
        <f t="shared" si="1"/>
        <v>20.195</v>
      </c>
    </row>
    <row r="25">
      <c r="A25" s="9" t="s">
        <v>35</v>
      </c>
      <c r="B25" s="10">
        <v>1.75</v>
      </c>
      <c r="C25" s="6">
        <v>11.54</v>
      </c>
      <c r="D25" s="12">
        <f t="shared" si="1"/>
        <v>20.195</v>
      </c>
    </row>
    <row r="26">
      <c r="A26" s="9" t="s">
        <v>36</v>
      </c>
      <c r="B26" s="10">
        <v>1.0</v>
      </c>
      <c r="C26" s="6">
        <v>11.54</v>
      </c>
      <c r="D26" s="12">
        <f t="shared" si="1"/>
        <v>11.54</v>
      </c>
    </row>
    <row r="27">
      <c r="A27" s="9" t="s">
        <v>37</v>
      </c>
      <c r="B27" s="10">
        <v>1.0</v>
      </c>
      <c r="C27" s="6">
        <v>11.54</v>
      </c>
      <c r="D27" s="12">
        <f t="shared" si="1"/>
        <v>11.54</v>
      </c>
    </row>
    <row r="28">
      <c r="A28" s="9" t="s">
        <v>39</v>
      </c>
      <c r="B28" s="10">
        <v>0.75</v>
      </c>
      <c r="C28" s="6">
        <v>11.54</v>
      </c>
      <c r="D28" s="12">
        <f t="shared" si="1"/>
        <v>8.655</v>
      </c>
    </row>
    <row r="29">
      <c r="A29" s="9" t="s">
        <v>40</v>
      </c>
      <c r="B29" s="10">
        <v>1.0</v>
      </c>
      <c r="C29" s="6">
        <v>11.54</v>
      </c>
      <c r="D29" s="12">
        <f t="shared" si="1"/>
        <v>11.54</v>
      </c>
    </row>
    <row r="30">
      <c r="A30" s="9" t="s">
        <v>41</v>
      </c>
      <c r="B30" s="10">
        <v>0.75</v>
      </c>
      <c r="C30" s="6">
        <v>11.54</v>
      </c>
      <c r="D30" s="12">
        <f t="shared" si="1"/>
        <v>8.655</v>
      </c>
    </row>
    <row r="31">
      <c r="A31" s="9" t="s">
        <v>43</v>
      </c>
      <c r="B31" s="10">
        <v>1.25</v>
      </c>
      <c r="C31" s="6">
        <v>11.54</v>
      </c>
      <c r="D31" s="12">
        <f t="shared" si="1"/>
        <v>14.425</v>
      </c>
    </row>
    <row r="32">
      <c r="A32" s="9" t="s">
        <v>44</v>
      </c>
      <c r="B32" s="10">
        <v>1.75</v>
      </c>
      <c r="C32" s="6">
        <v>11.54</v>
      </c>
      <c r="D32" s="12">
        <f t="shared" si="1"/>
        <v>20.195</v>
      </c>
    </row>
    <row r="33">
      <c r="A33" s="9" t="s">
        <v>45</v>
      </c>
      <c r="B33" s="10">
        <v>0.75</v>
      </c>
      <c r="C33" s="6">
        <v>11.54</v>
      </c>
      <c r="D33" s="12">
        <f t="shared" si="1"/>
        <v>8.655</v>
      </c>
    </row>
    <row r="34">
      <c r="A34" s="9" t="s">
        <v>47</v>
      </c>
      <c r="B34" s="10">
        <v>6.5</v>
      </c>
      <c r="C34" s="6">
        <v>11.54</v>
      </c>
      <c r="D34" s="12">
        <f t="shared" si="1"/>
        <v>75.01</v>
      </c>
    </row>
    <row r="35">
      <c r="A35" s="9" t="s">
        <v>48</v>
      </c>
      <c r="B35" s="10">
        <v>1.5</v>
      </c>
      <c r="C35" s="6">
        <v>11.54</v>
      </c>
      <c r="D35" s="12">
        <f t="shared" si="1"/>
        <v>17.31</v>
      </c>
    </row>
    <row r="36">
      <c r="A36" s="9" t="s">
        <v>50</v>
      </c>
      <c r="B36" s="10">
        <v>3.0</v>
      </c>
      <c r="C36" s="6">
        <v>11.54</v>
      </c>
      <c r="D36" s="12">
        <f t="shared" si="1"/>
        <v>34.62</v>
      </c>
    </row>
    <row r="37">
      <c r="A37" s="9" t="s">
        <v>51</v>
      </c>
      <c r="B37" s="10">
        <v>2.75</v>
      </c>
      <c r="C37" s="6">
        <v>11.54</v>
      </c>
      <c r="D37" s="12">
        <f t="shared" si="1"/>
        <v>31.735</v>
      </c>
    </row>
    <row r="38">
      <c r="A38" s="9" t="s">
        <v>52</v>
      </c>
      <c r="B38" s="10">
        <v>1.0</v>
      </c>
      <c r="C38" s="6">
        <v>11.54</v>
      </c>
      <c r="D38" s="12">
        <f t="shared" si="1"/>
        <v>11.54</v>
      </c>
    </row>
    <row r="39">
      <c r="A39" s="9" t="s">
        <v>53</v>
      </c>
      <c r="B39" s="10">
        <v>0.75</v>
      </c>
      <c r="C39" s="6">
        <v>11.54</v>
      </c>
      <c r="D39" s="12">
        <f t="shared" si="1"/>
        <v>8.655</v>
      </c>
    </row>
    <row r="40">
      <c r="A40" s="9" t="s">
        <v>55</v>
      </c>
      <c r="B40" s="10">
        <v>1.75</v>
      </c>
      <c r="C40" s="6">
        <v>11.54</v>
      </c>
      <c r="D40" s="12">
        <f t="shared" si="1"/>
        <v>20.195</v>
      </c>
    </row>
    <row r="41">
      <c r="A41" s="9" t="s">
        <v>56</v>
      </c>
      <c r="B41" s="10">
        <v>4.5</v>
      </c>
      <c r="C41" s="6">
        <v>11.54</v>
      </c>
      <c r="D41" s="12">
        <f t="shared" si="1"/>
        <v>51.93</v>
      </c>
    </row>
    <row r="42">
      <c r="A42" s="9" t="s">
        <v>58</v>
      </c>
      <c r="B42" s="10">
        <v>2.75</v>
      </c>
      <c r="C42" s="6">
        <v>11.54</v>
      </c>
      <c r="D42" s="12">
        <f t="shared" si="1"/>
        <v>31.735</v>
      </c>
    </row>
    <row r="43">
      <c r="A43" s="9" t="s">
        <v>59</v>
      </c>
      <c r="B43" s="10">
        <v>1.5</v>
      </c>
      <c r="C43" s="6">
        <v>11.54</v>
      </c>
      <c r="D43" s="12">
        <f t="shared" si="1"/>
        <v>17.31</v>
      </c>
    </row>
    <row r="44">
      <c r="A44" s="9" t="s">
        <v>60</v>
      </c>
      <c r="B44" s="10">
        <v>1.25</v>
      </c>
      <c r="C44" s="6">
        <v>11.54</v>
      </c>
      <c r="D44" s="12">
        <f t="shared" si="1"/>
        <v>14.425</v>
      </c>
    </row>
    <row r="45">
      <c r="A45" s="9" t="s">
        <v>62</v>
      </c>
      <c r="B45" s="10">
        <v>0.75</v>
      </c>
      <c r="C45" s="6">
        <v>11.54</v>
      </c>
      <c r="D45" s="12">
        <f t="shared" si="1"/>
        <v>8.655</v>
      </c>
    </row>
    <row r="46">
      <c r="A46" s="9" t="s">
        <v>63</v>
      </c>
      <c r="B46" s="10">
        <v>3.0</v>
      </c>
      <c r="C46" s="6">
        <v>11.54</v>
      </c>
      <c r="D46" s="12">
        <f t="shared" si="1"/>
        <v>34.62</v>
      </c>
    </row>
    <row r="47">
      <c r="A47" s="9" t="s">
        <v>65</v>
      </c>
      <c r="B47" s="10">
        <v>5.25</v>
      </c>
      <c r="C47" s="6">
        <v>11.54</v>
      </c>
      <c r="D47" s="12">
        <f t="shared" si="1"/>
        <v>60.585</v>
      </c>
    </row>
    <row r="48">
      <c r="A48" s="9" t="s">
        <v>66</v>
      </c>
      <c r="B48" s="10">
        <v>3.25</v>
      </c>
      <c r="C48" s="6">
        <v>11.54</v>
      </c>
      <c r="D48" s="12">
        <f t="shared" si="1"/>
        <v>37.505</v>
      </c>
    </row>
    <row r="49">
      <c r="A49" s="9" t="s">
        <v>68</v>
      </c>
      <c r="B49" s="10">
        <v>3.0</v>
      </c>
      <c r="C49" s="6">
        <v>11.54</v>
      </c>
      <c r="D49" s="12">
        <f t="shared" si="1"/>
        <v>34.62</v>
      </c>
    </row>
    <row r="50">
      <c r="A50" s="9" t="s">
        <v>70</v>
      </c>
      <c r="B50" s="10">
        <v>3.0</v>
      </c>
      <c r="C50" s="6">
        <v>11.54</v>
      </c>
      <c r="D50" s="12">
        <f t="shared" si="1"/>
        <v>34.62</v>
      </c>
    </row>
    <row r="51">
      <c r="A51" s="9" t="s">
        <v>71</v>
      </c>
      <c r="B51" s="10">
        <v>2.0</v>
      </c>
      <c r="C51" s="6">
        <v>11.54</v>
      </c>
      <c r="D51" s="12">
        <f t="shared" si="1"/>
        <v>23.08</v>
      </c>
    </row>
    <row r="52">
      <c r="A52" s="9" t="s">
        <v>73</v>
      </c>
      <c r="B52" s="10">
        <v>0.5</v>
      </c>
      <c r="C52" s="6">
        <v>11.54</v>
      </c>
      <c r="D52" s="12">
        <f t="shared" si="1"/>
        <v>5.77</v>
      </c>
    </row>
    <row r="53">
      <c r="A53" s="9" t="s">
        <v>74</v>
      </c>
      <c r="B53" s="10">
        <v>1.5</v>
      </c>
      <c r="C53" s="6">
        <v>11.54</v>
      </c>
      <c r="D53" s="12">
        <f t="shared" si="1"/>
        <v>17.31</v>
      </c>
    </row>
    <row r="54">
      <c r="A54" s="9" t="s">
        <v>75</v>
      </c>
      <c r="B54" s="10">
        <v>0.5</v>
      </c>
      <c r="C54" s="6">
        <v>11.54</v>
      </c>
      <c r="D54" s="12">
        <f t="shared" si="1"/>
        <v>5.77</v>
      </c>
    </row>
    <row r="55">
      <c r="A55" s="9" t="s">
        <v>77</v>
      </c>
      <c r="B55" s="10">
        <v>9.25</v>
      </c>
      <c r="C55" s="6">
        <v>11.54</v>
      </c>
      <c r="D55" s="12">
        <f t="shared" si="1"/>
        <v>106.745</v>
      </c>
    </row>
    <row r="56">
      <c r="A56" s="9" t="s">
        <v>79</v>
      </c>
      <c r="B56" s="10">
        <v>7.75</v>
      </c>
      <c r="C56" s="6">
        <v>11.54</v>
      </c>
      <c r="D56" s="12">
        <f t="shared" si="1"/>
        <v>89.435</v>
      </c>
    </row>
    <row r="57">
      <c r="A57" s="9" t="s">
        <v>54</v>
      </c>
      <c r="B57" s="10">
        <v>2.75</v>
      </c>
      <c r="C57" s="6">
        <v>11.54</v>
      </c>
      <c r="D57" s="12">
        <f t="shared" si="1"/>
        <v>31.735</v>
      </c>
    </row>
    <row r="58">
      <c r="A58" s="9" t="s">
        <v>80</v>
      </c>
      <c r="B58" s="10">
        <v>1.75</v>
      </c>
      <c r="C58" s="6">
        <v>11.54</v>
      </c>
      <c r="D58" s="12">
        <f t="shared" si="1"/>
        <v>20.195</v>
      </c>
    </row>
    <row r="59">
      <c r="A59" s="9" t="s">
        <v>57</v>
      </c>
      <c r="B59" s="10">
        <v>0.75</v>
      </c>
      <c r="C59" s="6">
        <v>11.54</v>
      </c>
      <c r="D59" s="12">
        <f t="shared" si="1"/>
        <v>8.655</v>
      </c>
    </row>
    <row r="60">
      <c r="A60" s="9" t="s">
        <v>69</v>
      </c>
      <c r="B60" s="10">
        <v>6.5</v>
      </c>
      <c r="C60" s="6">
        <v>11.54</v>
      </c>
      <c r="D60" s="12">
        <f t="shared" si="1"/>
        <v>75.01</v>
      </c>
    </row>
    <row r="61">
      <c r="A61" s="9" t="s">
        <v>81</v>
      </c>
      <c r="B61" s="10">
        <v>1.25</v>
      </c>
      <c r="C61" s="6">
        <v>11.54</v>
      </c>
      <c r="D61" s="12">
        <f t="shared" si="1"/>
        <v>14.425</v>
      </c>
    </row>
    <row r="62">
      <c r="A62" s="9" t="s">
        <v>82</v>
      </c>
      <c r="B62" s="10">
        <v>1.25</v>
      </c>
      <c r="C62" s="6">
        <v>11.54</v>
      </c>
      <c r="D62" s="12">
        <f t="shared" si="1"/>
        <v>14.425</v>
      </c>
    </row>
    <row r="63">
      <c r="A63" s="9" t="s">
        <v>83</v>
      </c>
      <c r="B63" s="10">
        <v>0.25</v>
      </c>
      <c r="C63" s="6">
        <v>11.54</v>
      </c>
      <c r="D63" s="12">
        <f t="shared" si="1"/>
        <v>2.885</v>
      </c>
    </row>
    <row r="64">
      <c r="A64" s="9" t="s">
        <v>84</v>
      </c>
      <c r="B64" s="10">
        <v>18.5</v>
      </c>
      <c r="C64" s="6">
        <v>11.54</v>
      </c>
      <c r="D64" s="12">
        <f t="shared" si="1"/>
        <v>213.49</v>
      </c>
    </row>
    <row r="65">
      <c r="A65" s="9" t="s">
        <v>85</v>
      </c>
      <c r="B65" s="10">
        <v>0.0</v>
      </c>
      <c r="C65" s="6">
        <v>11.54</v>
      </c>
      <c r="D65" s="12">
        <f t="shared" si="1"/>
        <v>0</v>
      </c>
    </row>
    <row r="66">
      <c r="A66" s="9" t="s">
        <v>86</v>
      </c>
      <c r="B66" s="10">
        <v>0.25</v>
      </c>
      <c r="C66" s="6">
        <v>11.54</v>
      </c>
      <c r="D66" s="12">
        <f t="shared" si="1"/>
        <v>2.885</v>
      </c>
    </row>
    <row r="67">
      <c r="A67" s="9" t="s">
        <v>87</v>
      </c>
      <c r="B67" s="10">
        <v>0.25</v>
      </c>
      <c r="C67" s="6">
        <v>11.54</v>
      </c>
      <c r="D67" s="12">
        <f t="shared" si="1"/>
        <v>2.885</v>
      </c>
    </row>
    <row r="68">
      <c r="A68" s="9" t="s">
        <v>88</v>
      </c>
      <c r="B68" s="10">
        <v>14.5</v>
      </c>
      <c r="C68" s="6">
        <v>11.54</v>
      </c>
      <c r="D68" s="12">
        <f t="shared" si="1"/>
        <v>167.33</v>
      </c>
    </row>
    <row r="69">
      <c r="A69" s="9" t="s">
        <v>89</v>
      </c>
      <c r="B69" s="10">
        <v>1.75</v>
      </c>
      <c r="C69" s="6">
        <v>11.54</v>
      </c>
      <c r="D69" s="12">
        <f t="shared" si="1"/>
        <v>20.195</v>
      </c>
    </row>
    <row r="70">
      <c r="A70" s="9" t="s">
        <v>90</v>
      </c>
      <c r="B70" s="10">
        <v>1.0</v>
      </c>
      <c r="C70" s="6">
        <v>11.54</v>
      </c>
      <c r="D70" s="12">
        <f t="shared" si="1"/>
        <v>11.54</v>
      </c>
    </row>
    <row r="71">
      <c r="A71" s="9" t="s">
        <v>91</v>
      </c>
      <c r="B71" s="10">
        <v>0.75</v>
      </c>
      <c r="C71" s="6">
        <v>11.54</v>
      </c>
      <c r="D71" s="12">
        <f t="shared" si="1"/>
        <v>8.655</v>
      </c>
    </row>
    <row r="72">
      <c r="A72" s="9" t="s">
        <v>92</v>
      </c>
      <c r="B72" s="10">
        <v>0.25</v>
      </c>
      <c r="C72" s="6">
        <v>11.54</v>
      </c>
      <c r="D72" s="12">
        <f t="shared" si="1"/>
        <v>2.885</v>
      </c>
    </row>
    <row r="73">
      <c r="A73" s="9"/>
      <c r="B73" s="9"/>
    </row>
    <row r="74">
      <c r="A74" s="5" t="s">
        <v>93</v>
      </c>
      <c r="B74" s="13">
        <v>122.0</v>
      </c>
      <c r="C74" s="3"/>
      <c r="D74" s="13">
        <f>SUM(D9:D72)</f>
        <v>2082.97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 t="s">
        <v>95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97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102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 t="s">
        <v>105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108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111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  <row r="1002">
      <c r="A1002" s="9"/>
      <c r="B1002" s="9"/>
    </row>
    <row r="1003">
      <c r="A1003" s="9"/>
      <c r="B1003" s="9"/>
    </row>
    <row r="1004">
      <c r="A1004" s="9"/>
      <c r="B1004" s="9"/>
    </row>
    <row r="1005">
      <c r="A1005" s="9"/>
      <c r="B1005" s="9"/>
    </row>
    <row r="1006">
      <c r="A1006" s="9"/>
      <c r="B1006" s="9"/>
    </row>
    <row r="1007">
      <c r="A1007" s="9"/>
      <c r="B1007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0.63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10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11</v>
      </c>
      <c r="B7" s="8" t="s">
        <v>12</v>
      </c>
      <c r="C7" s="8" t="s">
        <v>13</v>
      </c>
      <c r="D7" s="8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16</v>
      </c>
      <c r="B8" s="11">
        <v>0.79</v>
      </c>
      <c r="C8" s="6">
        <v>11.54</v>
      </c>
      <c r="D8" s="7">
        <f t="shared" ref="D8:D70" si="1">ROUND(B8 * C8, 2)</f>
        <v>9.12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22</v>
      </c>
      <c r="B9" s="11">
        <v>0.08</v>
      </c>
      <c r="C9" s="6">
        <v>11.54</v>
      </c>
      <c r="D9" s="7">
        <f t="shared" si="1"/>
        <v>0.92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28</v>
      </c>
      <c r="B10" s="11">
        <v>4.15</v>
      </c>
      <c r="C10" s="6">
        <v>11.54</v>
      </c>
      <c r="D10" s="7">
        <f t="shared" si="1"/>
        <v>47.89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33</v>
      </c>
      <c r="B11" s="11">
        <v>0.13</v>
      </c>
      <c r="C11" s="6">
        <v>11.54</v>
      </c>
      <c r="D11" s="7">
        <f t="shared" si="1"/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38</v>
      </c>
      <c r="B12" s="11">
        <v>0.99</v>
      </c>
      <c r="C12" s="6">
        <v>11.54</v>
      </c>
      <c r="D12" s="7">
        <f t="shared" si="1"/>
        <v>11.42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42</v>
      </c>
      <c r="B13" s="11">
        <v>4.44</v>
      </c>
      <c r="C13" s="6">
        <v>11.54</v>
      </c>
      <c r="D13" s="7">
        <f t="shared" si="1"/>
        <v>51.24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46</v>
      </c>
      <c r="B14" s="11">
        <v>0.03</v>
      </c>
      <c r="C14" s="6">
        <v>11.54</v>
      </c>
      <c r="D14" s="7">
        <f t="shared" si="1"/>
        <v>0.35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49</v>
      </c>
      <c r="B15" s="11">
        <v>0.75</v>
      </c>
      <c r="C15" s="6">
        <v>11.54</v>
      </c>
      <c r="D15" s="7">
        <f t="shared" si="1"/>
        <v>8.66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54</v>
      </c>
      <c r="B16" s="11">
        <v>0.91</v>
      </c>
      <c r="C16" s="6">
        <v>11.54</v>
      </c>
      <c r="D16" s="7">
        <f t="shared" si="1"/>
        <v>10.5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57</v>
      </c>
      <c r="B17" s="11">
        <v>0.2</v>
      </c>
      <c r="C17" s="6">
        <v>11.54</v>
      </c>
      <c r="D17" s="7">
        <f t="shared" si="1"/>
        <v>2.31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61</v>
      </c>
      <c r="B18" s="11">
        <v>1.52</v>
      </c>
      <c r="C18" s="6">
        <v>11.54</v>
      </c>
      <c r="D18" s="7">
        <f t="shared" si="1"/>
        <v>17.54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64</v>
      </c>
      <c r="B19" s="11">
        <v>1.19</v>
      </c>
      <c r="C19" s="6">
        <v>11.54</v>
      </c>
      <c r="D19" s="7">
        <f t="shared" si="1"/>
        <v>13.73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67</v>
      </c>
      <c r="B20" s="11">
        <v>0.54</v>
      </c>
      <c r="C20" s="6">
        <v>11.54</v>
      </c>
      <c r="D20" s="7">
        <f t="shared" si="1"/>
        <v>6.23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69</v>
      </c>
      <c r="B21" s="11">
        <v>4.16</v>
      </c>
      <c r="C21" s="6">
        <v>11.54</v>
      </c>
      <c r="D21" s="7">
        <f t="shared" si="1"/>
        <v>48.01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72</v>
      </c>
      <c r="B22" s="11">
        <v>0.18</v>
      </c>
      <c r="C22" s="6">
        <v>11.54</v>
      </c>
      <c r="D22" s="7">
        <f t="shared" si="1"/>
        <v>2.08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76</v>
      </c>
      <c r="B23" s="11">
        <v>0.59</v>
      </c>
      <c r="C23" s="6">
        <v>11.54</v>
      </c>
      <c r="D23" s="7">
        <f t="shared" si="1"/>
        <v>6.81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78</v>
      </c>
      <c r="B24" s="11">
        <v>0.23</v>
      </c>
      <c r="C24" s="6">
        <v>11.54</v>
      </c>
      <c r="D24" s="7">
        <f t="shared" si="1"/>
        <v>2.65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94</v>
      </c>
      <c r="B25" s="11">
        <v>0.51</v>
      </c>
      <c r="C25" s="6">
        <v>11.54</v>
      </c>
      <c r="D25" s="7">
        <f t="shared" si="1"/>
        <v>5.89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86</v>
      </c>
      <c r="B26" s="11">
        <v>0.38</v>
      </c>
      <c r="C26" s="6">
        <v>11.54</v>
      </c>
      <c r="D26" s="7">
        <f t="shared" si="1"/>
        <v>4.39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96</v>
      </c>
      <c r="B27" s="11">
        <v>0.11</v>
      </c>
      <c r="C27" s="6">
        <v>11.54</v>
      </c>
      <c r="D27" s="7">
        <f t="shared" si="1"/>
        <v>1.27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 t="s">
        <v>98</v>
      </c>
      <c r="B28" s="11">
        <v>2.85</v>
      </c>
      <c r="C28" s="6">
        <v>11.54</v>
      </c>
      <c r="D28" s="7">
        <f t="shared" si="1"/>
        <v>32.89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99</v>
      </c>
      <c r="B29" s="11">
        <v>0.69</v>
      </c>
      <c r="C29" s="6">
        <v>11.54</v>
      </c>
      <c r="D29" s="7">
        <f t="shared" si="1"/>
        <v>7.96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101</v>
      </c>
      <c r="B30" s="11">
        <v>0.18</v>
      </c>
      <c r="C30" s="6">
        <v>11.54</v>
      </c>
      <c r="D30" s="7">
        <f t="shared" si="1"/>
        <v>2.08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" t="s">
        <v>103</v>
      </c>
      <c r="B31" s="11">
        <v>6.33</v>
      </c>
      <c r="C31" s="6">
        <v>11.54</v>
      </c>
      <c r="D31" s="7">
        <f t="shared" si="1"/>
        <v>73.05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104</v>
      </c>
      <c r="B32" s="11">
        <v>7.93</v>
      </c>
      <c r="C32" s="6">
        <v>11.54</v>
      </c>
      <c r="D32" s="7">
        <f t="shared" si="1"/>
        <v>91.51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" t="s">
        <v>106</v>
      </c>
      <c r="B33" s="11">
        <v>0.25</v>
      </c>
      <c r="C33" s="6">
        <v>11.54</v>
      </c>
      <c r="D33" s="7">
        <f t="shared" si="1"/>
        <v>2.89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" t="s">
        <v>107</v>
      </c>
      <c r="B34" s="11">
        <v>1.6</v>
      </c>
      <c r="C34" s="6">
        <v>11.54</v>
      </c>
      <c r="D34" s="7">
        <f t="shared" si="1"/>
        <v>18.46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" t="s">
        <v>109</v>
      </c>
      <c r="B35" s="11">
        <v>1.13</v>
      </c>
      <c r="C35" s="6">
        <v>11.54</v>
      </c>
      <c r="D35" s="7">
        <f t="shared" si="1"/>
        <v>13.04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" t="s">
        <v>110</v>
      </c>
      <c r="B36" s="11">
        <v>0.08</v>
      </c>
      <c r="C36" s="6">
        <v>11.54</v>
      </c>
      <c r="D36" s="7">
        <f t="shared" si="1"/>
        <v>0.92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" t="s">
        <v>20</v>
      </c>
      <c r="B37" s="11">
        <v>2.77</v>
      </c>
      <c r="C37" s="6">
        <v>11.54</v>
      </c>
      <c r="D37" s="7">
        <f t="shared" si="1"/>
        <v>31.97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112</v>
      </c>
      <c r="B38" s="11">
        <v>0.2</v>
      </c>
      <c r="C38" s="6">
        <v>11.54</v>
      </c>
      <c r="D38" s="7">
        <f t="shared" si="1"/>
        <v>2.31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" t="s">
        <v>113</v>
      </c>
      <c r="B39" s="11">
        <v>0.36</v>
      </c>
      <c r="C39" s="6">
        <v>11.54</v>
      </c>
      <c r="D39" s="7">
        <f t="shared" si="1"/>
        <v>4.15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3" t="s">
        <v>114</v>
      </c>
      <c r="B40" s="11">
        <v>2.73</v>
      </c>
      <c r="C40" s="6">
        <v>11.54</v>
      </c>
      <c r="D40" s="7">
        <f t="shared" si="1"/>
        <v>31.5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" t="s">
        <v>115</v>
      </c>
      <c r="B41" s="11">
        <v>0.21</v>
      </c>
      <c r="C41" s="6">
        <v>11.54</v>
      </c>
      <c r="D41" s="7">
        <f t="shared" si="1"/>
        <v>2.42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" t="s">
        <v>116</v>
      </c>
      <c r="B42" s="11">
        <v>0.88</v>
      </c>
      <c r="C42" s="6">
        <v>11.54</v>
      </c>
      <c r="D42" s="7">
        <f t="shared" si="1"/>
        <v>10.16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" t="s">
        <v>117</v>
      </c>
      <c r="B43" s="11">
        <v>0.24</v>
      </c>
      <c r="C43" s="6">
        <v>11.54</v>
      </c>
      <c r="D43" s="7">
        <f t="shared" si="1"/>
        <v>2.77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" t="s">
        <v>29</v>
      </c>
      <c r="B44" s="11">
        <v>0.12</v>
      </c>
      <c r="C44" s="6">
        <v>11.54</v>
      </c>
      <c r="D44" s="7">
        <f t="shared" si="1"/>
        <v>1.38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3" t="s">
        <v>31</v>
      </c>
      <c r="B45" s="11">
        <v>0.03</v>
      </c>
      <c r="C45" s="6">
        <v>11.54</v>
      </c>
      <c r="D45" s="7">
        <f t="shared" si="1"/>
        <v>0.35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" t="s">
        <v>118</v>
      </c>
      <c r="B46" s="11">
        <v>2.1</v>
      </c>
      <c r="C46" s="6">
        <v>11.54</v>
      </c>
      <c r="D46" s="7">
        <f t="shared" si="1"/>
        <v>24.23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3" t="s">
        <v>32</v>
      </c>
      <c r="B47" s="11">
        <v>0.92</v>
      </c>
      <c r="C47" s="6">
        <v>11.54</v>
      </c>
      <c r="D47" s="7">
        <f t="shared" si="1"/>
        <v>10.62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3" t="s">
        <v>35</v>
      </c>
      <c r="B48" s="11">
        <v>0.1</v>
      </c>
      <c r="C48" s="6">
        <v>11.54</v>
      </c>
      <c r="D48" s="7">
        <f t="shared" si="1"/>
        <v>1.15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3" t="s">
        <v>36</v>
      </c>
      <c r="B49" s="11">
        <v>1.54</v>
      </c>
      <c r="C49" s="6">
        <v>11.54</v>
      </c>
      <c r="D49" s="7">
        <f t="shared" si="1"/>
        <v>17.77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" t="s">
        <v>39</v>
      </c>
      <c r="B50" s="11">
        <v>1.17</v>
      </c>
      <c r="C50" s="6">
        <v>11.54</v>
      </c>
      <c r="D50" s="7">
        <f t="shared" si="1"/>
        <v>13.5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3" t="s">
        <v>119</v>
      </c>
      <c r="B51" s="11">
        <v>1.26</v>
      </c>
      <c r="C51" s="6">
        <v>11.54</v>
      </c>
      <c r="D51" s="7">
        <f t="shared" si="1"/>
        <v>14.54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3" t="s">
        <v>40</v>
      </c>
      <c r="B52" s="11">
        <v>0.77</v>
      </c>
      <c r="C52" s="6">
        <v>11.54</v>
      </c>
      <c r="D52" s="7">
        <f t="shared" si="1"/>
        <v>8.89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" t="s">
        <v>41</v>
      </c>
      <c r="B53" s="11">
        <v>1.34</v>
      </c>
      <c r="C53" s="6">
        <v>11.54</v>
      </c>
      <c r="D53" s="7">
        <f t="shared" si="1"/>
        <v>15.46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" t="s">
        <v>121</v>
      </c>
      <c r="B54" s="11">
        <v>3.41</v>
      </c>
      <c r="C54" s="6">
        <v>11.54</v>
      </c>
      <c r="D54" s="7">
        <f t="shared" si="1"/>
        <v>39.35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3" t="s">
        <v>44</v>
      </c>
      <c r="B55" s="11">
        <v>1.02</v>
      </c>
      <c r="C55" s="6">
        <v>11.54</v>
      </c>
      <c r="D55" s="7">
        <f t="shared" si="1"/>
        <v>11.77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" t="s">
        <v>124</v>
      </c>
      <c r="B56" s="11">
        <v>0.74</v>
      </c>
      <c r="C56" s="6">
        <v>11.54</v>
      </c>
      <c r="D56" s="7">
        <f t="shared" si="1"/>
        <v>8.54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3" t="s">
        <v>45</v>
      </c>
      <c r="B57" s="11">
        <v>0.07</v>
      </c>
      <c r="C57" s="6">
        <v>11.54</v>
      </c>
      <c r="D57" s="7">
        <f t="shared" si="1"/>
        <v>0.81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" t="s">
        <v>126</v>
      </c>
      <c r="B58" s="11">
        <v>2.19</v>
      </c>
      <c r="C58" s="6">
        <v>11.54</v>
      </c>
      <c r="D58" s="7">
        <f t="shared" si="1"/>
        <v>25.27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3" t="s">
        <v>47</v>
      </c>
      <c r="B59" s="11">
        <v>0.08</v>
      </c>
      <c r="C59" s="6">
        <v>11.54</v>
      </c>
      <c r="D59" s="7">
        <f t="shared" si="1"/>
        <v>0.92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3" t="s">
        <v>48</v>
      </c>
      <c r="B60" s="11">
        <v>3.09</v>
      </c>
      <c r="C60" s="6">
        <v>11.54</v>
      </c>
      <c r="D60" s="7">
        <f t="shared" si="1"/>
        <v>35.66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" t="s">
        <v>50</v>
      </c>
      <c r="B61" s="11">
        <v>0.16</v>
      </c>
      <c r="C61" s="6">
        <v>11.54</v>
      </c>
      <c r="D61" s="7">
        <f t="shared" si="1"/>
        <v>1.85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3" t="s">
        <v>129</v>
      </c>
      <c r="B62" s="11">
        <v>1.85</v>
      </c>
      <c r="C62" s="6">
        <v>11.54</v>
      </c>
      <c r="D62" s="7">
        <f t="shared" si="1"/>
        <v>21.35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3" t="s">
        <v>55</v>
      </c>
      <c r="B63" s="11">
        <v>0.24</v>
      </c>
      <c r="C63" s="6">
        <v>11.54</v>
      </c>
      <c r="D63" s="7">
        <f t="shared" si="1"/>
        <v>2.77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3" t="s">
        <v>130</v>
      </c>
      <c r="B64" s="11">
        <v>6.25</v>
      </c>
      <c r="C64" s="6">
        <v>11.54</v>
      </c>
      <c r="D64" s="7">
        <f t="shared" si="1"/>
        <v>72.13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3" t="s">
        <v>56</v>
      </c>
      <c r="B65" s="11">
        <v>0.3</v>
      </c>
      <c r="C65" s="6">
        <v>11.54</v>
      </c>
      <c r="D65" s="7">
        <f t="shared" si="1"/>
        <v>3.46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3" t="s">
        <v>131</v>
      </c>
      <c r="B66" s="11">
        <v>1.29</v>
      </c>
      <c r="C66" s="6">
        <v>11.54</v>
      </c>
      <c r="D66" s="7">
        <f t="shared" si="1"/>
        <v>14.89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" t="s">
        <v>132</v>
      </c>
      <c r="B67" s="11">
        <v>0.66</v>
      </c>
      <c r="C67" s="6">
        <v>11.54</v>
      </c>
      <c r="D67" s="7">
        <f t="shared" si="1"/>
        <v>7.62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" t="s">
        <v>58</v>
      </c>
      <c r="B68" s="11">
        <v>1.04</v>
      </c>
      <c r="C68" s="6">
        <v>11.54</v>
      </c>
      <c r="D68" s="7">
        <f t="shared" si="1"/>
        <v>12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3" t="s">
        <v>133</v>
      </c>
      <c r="B69" s="11">
        <v>0.56</v>
      </c>
      <c r="C69" s="6">
        <v>11.54</v>
      </c>
      <c r="D69" s="7">
        <f t="shared" si="1"/>
        <v>6.46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3" t="s">
        <v>134</v>
      </c>
      <c r="B70" s="11">
        <v>9.26</v>
      </c>
      <c r="C70" s="6">
        <v>11.54</v>
      </c>
      <c r="D70" s="7">
        <f t="shared" si="1"/>
        <v>106.86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 t="s">
        <v>93</v>
      </c>
      <c r="B71" s="13">
        <f>SUM(B8:B70)</f>
        <v>91.87</v>
      </c>
      <c r="C71" s="3"/>
      <c r="D71" s="13">
        <f>ROUND(B71 * 11.54, 0)</f>
        <v>1060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 t="s">
        <v>95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135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136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137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 t="s">
        <v>138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139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140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